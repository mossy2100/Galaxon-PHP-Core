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Projects\PHP\Galaxon\Core\_dev\"/>
    </mc:Choice>
  </mc:AlternateContent>
  <xr:revisionPtr revIDLastSave="0" documentId="13_ncr:1_{B486BDE3-2A88-4C66-9C8A-E090BCF11DC2}" xr6:coauthVersionLast="47" xr6:coauthVersionMax="47" xr10:uidLastSave="{00000000-0000-0000-0000-000000000000}"/>
  <bookViews>
    <workbookView xWindow="-108" yWindow="-108" windowWidth="30936" windowHeight="16776" xr2:uid="{FF7872A6-4134-40BD-8A1E-5B9F500F5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9" i="1"/>
  <c r="B9" i="1"/>
  <c r="G4" i="1" s="1"/>
  <c r="D9" i="1"/>
  <c r="D7" i="1"/>
  <c r="C9" i="1"/>
  <c r="C8" i="1" s="1"/>
  <c r="C4" i="1"/>
  <c r="C7" i="1"/>
  <c r="C6" i="1"/>
  <c r="G5" i="1" l="1"/>
  <c r="B6" i="1"/>
  <c r="F4" i="1"/>
  <c r="F5" i="1"/>
  <c r="F6" i="1"/>
  <c r="D4" i="1"/>
  <c r="B5" i="1"/>
  <c r="E9" i="1"/>
  <c r="D8" i="1"/>
  <c r="B8" i="1"/>
  <c r="G6" i="1"/>
  <c r="E4" i="1" l="1"/>
  <c r="G7" i="1"/>
  <c r="E8" i="1"/>
  <c r="B7" i="1"/>
  <c r="F7" i="1"/>
</calcChain>
</file>

<file path=xl/sharedStrings.xml><?xml version="1.0" encoding="utf-8"?>
<sst xmlns="http://schemas.openxmlformats.org/spreadsheetml/2006/main" count="13" uniqueCount="7">
  <si>
    <t>Angle conversion factors</t>
  </si>
  <si>
    <t>deg</t>
  </si>
  <si>
    <t>arcmin</t>
  </si>
  <si>
    <t>arcsec</t>
  </si>
  <si>
    <t>rad</t>
  </si>
  <si>
    <t>grad</t>
  </si>
  <si>
    <t>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</si>
</sst>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FDE8-C4BB-4FB7-BF96-32297BF7FE3C}">
  <dimension ref="A1:G9"/>
  <sheetViews>
    <sheetView tabSelected="1" zoomScale="170" zoomScaleNormal="170" workbookViewId="0">
      <selection activeCell="G9" sqref="G9"/>
    </sheetView>
  </sheetViews>
  <sheetFormatPr defaultRowHeight="14.4" x14ac:dyDescent="0.3"/>
  <cols>
    <col min="1" max="1" width="6.88671875" bestFit="1" customWidth="1"/>
    <col min="2" max="7" width="16" customWidth="1"/>
  </cols>
  <sheetData>
    <row r="1" spans="1:7" ht="25.8" x14ac:dyDescent="0.5">
      <c r="A1" s="2" t="s">
        <v>0</v>
      </c>
      <c r="B1" s="2"/>
      <c r="C1" s="2"/>
      <c r="D1" s="2"/>
      <c r="E1" s="2"/>
      <c r="F1" s="2"/>
      <c r="G1" s="2"/>
    </row>
    <row r="3" spans="1:7" x14ac:dyDescent="0.3">
      <c r="A3" s="1"/>
      <c r="B3" s="1" t="s">
        <v>4</v>
      </c>
      <c r="C3" s="1" t="s">
        <v>1</v>
      </c>
      <c r="D3" s="1" t="s">
        <v>2</v>
      </c>
      <c r="E3" s="1" t="s">
        <v>3</v>
      </c>
      <c r="F3" s="1" t="s">
        <v>5</v>
      </c>
      <c r="G3" s="1" t="s">
        <v>6</v>
      </c>
    </row>
    <row r="4" spans="1:7" x14ac:dyDescent="0.3">
      <c r="A4" s="1" t="s">
        <v>4</v>
      </c>
      <c r="B4">
        <v>1</v>
      </c>
      <c r="C4">
        <f>180/PI()</f>
        <v>57.295779513082323</v>
      </c>
      <c r="D4">
        <f>D9/B9</f>
        <v>3437.7467707849396</v>
      </c>
      <c r="E4">
        <f>E9/B9</f>
        <v>206264.80624709636</v>
      </c>
      <c r="F4">
        <f>F9/B9</f>
        <v>63.661977236758133</v>
      </c>
      <c r="G4">
        <f>1/B9</f>
        <v>0.15915494309189535</v>
      </c>
    </row>
    <row r="5" spans="1:7" x14ac:dyDescent="0.3">
      <c r="A5" s="1" t="s">
        <v>1</v>
      </c>
      <c r="B5">
        <f>B9/C9</f>
        <v>1.7453292519943295E-2</v>
      </c>
      <c r="C5">
        <v>1</v>
      </c>
      <c r="D5">
        <v>60</v>
      </c>
      <c r="E5">
        <v>3600</v>
      </c>
      <c r="F5">
        <f>F9/C9</f>
        <v>1.1111111111111112</v>
      </c>
      <c r="G5">
        <f>1/C9</f>
        <v>2.7777777777777779E-3</v>
      </c>
    </row>
    <row r="6" spans="1:7" x14ac:dyDescent="0.3">
      <c r="A6" s="1" t="s">
        <v>2</v>
      </c>
      <c r="B6">
        <f>B9/D9</f>
        <v>2.9088820866572158E-4</v>
      </c>
      <c r="C6">
        <f>1/60</f>
        <v>1.6666666666666666E-2</v>
      </c>
      <c r="D6">
        <v>1</v>
      </c>
      <c r="E6">
        <v>60</v>
      </c>
      <c r="F6">
        <f>F9/D9</f>
        <v>1.8518518518518517E-2</v>
      </c>
      <c r="G6">
        <f>1/D9</f>
        <v>4.6296296296296294E-5</v>
      </c>
    </row>
    <row r="7" spans="1:7" x14ac:dyDescent="0.3">
      <c r="A7" s="1" t="s">
        <v>3</v>
      </c>
      <c r="B7">
        <f>B9/E9</f>
        <v>4.8481368110953598E-6</v>
      </c>
      <c r="C7">
        <f>1/3600</f>
        <v>2.7777777777777778E-4</v>
      </c>
      <c r="D7">
        <f>1/60</f>
        <v>1.6666666666666666E-2</v>
      </c>
      <c r="E7">
        <v>1</v>
      </c>
      <c r="F7">
        <f>F9/E9</f>
        <v>3.0864197530864197E-4</v>
      </c>
      <c r="G7">
        <f>1/E9</f>
        <v>7.7160493827160489E-7</v>
      </c>
    </row>
    <row r="8" spans="1:7" x14ac:dyDescent="0.3">
      <c r="A8" s="1" t="s">
        <v>5</v>
      </c>
      <c r="B8">
        <f>B9/F9</f>
        <v>1.5707963267948967E-2</v>
      </c>
      <c r="C8">
        <f>C9/F9</f>
        <v>0.9</v>
      </c>
      <c r="D8">
        <f>D9/F9</f>
        <v>54</v>
      </c>
      <c r="E8">
        <f>E9/F9</f>
        <v>3240</v>
      </c>
      <c r="F8">
        <v>1</v>
      </c>
      <c r="G8">
        <f>1/400</f>
        <v>2.5000000000000001E-3</v>
      </c>
    </row>
    <row r="9" spans="1:7" x14ac:dyDescent="0.3">
      <c r="A9" s="1" t="s">
        <v>6</v>
      </c>
      <c r="B9">
        <f>2*PI()</f>
        <v>6.2831853071795862</v>
      </c>
      <c r="C9">
        <f>360</f>
        <v>360</v>
      </c>
      <c r="D9">
        <f>360*60</f>
        <v>21600</v>
      </c>
      <c r="E9">
        <f>D9*60</f>
        <v>1296000</v>
      </c>
      <c r="F9">
        <f>400</f>
        <v>400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Moss</dc:creator>
  <cp:lastModifiedBy>Shaun Moss</cp:lastModifiedBy>
  <dcterms:created xsi:type="dcterms:W3CDTF">2025-11-27T00:29:58Z</dcterms:created>
  <dcterms:modified xsi:type="dcterms:W3CDTF">2025-11-27T05:37:42Z</dcterms:modified>
</cp:coreProperties>
</file>